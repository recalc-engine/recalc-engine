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Salaries</t>
        </is>
      </c>
      <c r="B2">
        <v>12000</v>
      </c>
      <c r="C2">
        <v>12000</v>
      </c>
      <c r="D2">
        <v>12500</v>
      </c>
      <c r="E2">
        <v>12500</v>
      </c>
      <c r="F2">
        <f>SUM(B2:E2)</f>
        <v>49000</v>
      </c>
    </row>
    <row r="3">
      <c r="A3" t="inlineStr">
        <is>
          <t>Rent</t>
        </is>
      </c>
      <c r="B3">
        <v>3000</v>
      </c>
      <c r="C3">
        <v>3000</v>
      </c>
      <c r="D3">
        <v>3000</v>
      </c>
      <c r="E3">
        <v>3000</v>
      </c>
      <c r="F3">
        <f>SUM(B3:E3)</f>
        <v>12000</v>
      </c>
    </row>
    <row r="4">
      <c r="A4" t="inlineStr">
        <is>
          <t>Marketing</t>
        </is>
      </c>
      <c r="B4">
        <v>1500</v>
      </c>
      <c r="C4">
        <v>2200</v>
      </c>
      <c r="D4">
        <v>1800</v>
      </c>
      <c r="E4">
        <v>2600</v>
      </c>
      <c r="F4">
        <f>SUM(B4:E4)</f>
        <v>8100</v>
      </c>
    </row>
    <row r="5">
      <c r="A5" t="inlineStr">
        <is>
          <t>Software</t>
        </is>
      </c>
      <c r="B5">
        <v>800</v>
      </c>
      <c r="C5">
        <v>800</v>
      </c>
      <c r="D5">
        <v>950</v>
      </c>
      <c r="E5">
        <v>950</v>
      </c>
      <c r="F5">
        <f>SUM(B5:E5)</f>
        <v>3500</v>
      </c>
    </row>
    <row r="6">
      <c r="A6" t="inlineStr">
        <is>
          <t>Total</t>
        </is>
      </c>
      <c r="B6">
        <f>SUM(B2:B5)</f>
        <v>17300</v>
      </c>
      <c r="C6">
        <f>SUM(C2:C5)</f>
        <v>18000</v>
      </c>
      <c r="D6">
        <f>SUM(D2:D5)</f>
        <v>18250</v>
      </c>
      <c r="E6">
        <f>SUM(E2:E5)</f>
        <v>19050</v>
      </c>
      <c r="F6">
        <f>SUM(F2:F5)</f>
        <v>72600</v>
      </c>
    </row>
    <row r="7">
      <c r="A7" t="inlineStr">
        <is>
          <t>Average per quarter</t>
        </is>
      </c>
      <c r="B7">
        <f>AVERAGE(B6:E6)</f>
        <v>18150</v>
      </c>
    </row>
    <row r="8">
      <c r="A8" t="inlineStr">
        <is>
          <t>Highest quarter</t>
        </is>
      </c>
      <c r="B8">
        <f>MAX(B6:E6)</f>
        <v>19050</v>
      </c>
    </row>
    <row r="9">
      <c r="A9" t="inlineStr">
        <is>
          <t>Annual budget</t>
        </is>
      </c>
      <c r="B9">
        <v>70000</v>
      </c>
    </row>
    <row r="10">
      <c r="A10" t="inlineStr">
        <is>
          <t>Status</t>
        </is>
      </c>
      <c r="B10" t="str">
        <f>IF(F6&gt;B9,"Over budget","Within budget")</f>
        <v>Within budget</v>
      </c>
    </row>
    <row r="11">
      <c r="A11" t="inlineStr">
        <is>
          <t>Budget used (%)</t>
        </is>
      </c>
      <c r="B11">
        <f>ROUND(F6/B9*100,1)</f>
        <v>96.8</v>
      </c>
    </row>
  </sheetData>
</worksheet>
</file>